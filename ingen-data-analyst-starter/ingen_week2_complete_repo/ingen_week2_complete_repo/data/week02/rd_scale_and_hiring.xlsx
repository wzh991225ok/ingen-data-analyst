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d_scale_real" sheetId="1" state="visible" r:id="rId3"/>
    <sheet name="about_this_metric" sheetId="2" state="visible" r:id="rId4"/>
    <sheet name="hiring_snapshot_TEMPL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<sst xmlns="http://schemas.openxmlformats.org/spreadsheetml/2006/main" count="213" uniqueCount="136">
  <si>
    <t xml:space="preserve">#</t>
  </si>
  <si>
    <t xml:space="preserve">Vertical</t>
  </si>
  <si>
    <t xml:space="preserve">Company</t>
  </si>
  <si>
    <t xml:space="preserve">InGen anchor</t>
  </si>
  <si>
    <t xml:space="preserve">Employees (real)</t>
  </si>
  <si>
    <t xml:space="preserve">As of</t>
  </si>
  <si>
    <t xml:space="preserve">Source</t>
  </si>
  <si>
    <t xml:space="preserve">Patent portfolio (real)</t>
  </si>
  <si>
    <t xml:space="preserve">R&amp;D-scale read (headcount + IP)</t>
  </si>
  <si>
    <t xml:space="preserve">Eldercare</t>
  </si>
  <si>
    <t xml:space="preserve">Intuition Robotics (ElliQ)</t>
  </si>
  <si>
    <t xml:space="preserve">Fari</t>
  </si>
  <si>
    <t xml:space="preserve">~74</t>
  </si>
  <si>
    <t xml:space="preserve">2025</t>
  </si>
  <si>
    <t xml:space="preserve">RocketReach/CB Insights; LinkedIn ~8.8k followers</t>
  </si>
  <si>
    <t xml:space="preserve">Active assignee portfolio on Justia; HRI and proactive-dialogue focus</t>
  </si>
  <si>
    <t xml:space="preserve">Small, focused team with real HRI patent portfolio — IP-per-head is high for eldercare.</t>
  </si>
  <si>
    <t xml:space="preserve">Labrador Systems</t>
  </si>
  <si>
    <t xml:space="preserve">~15-30 (small; 3 execs listed)</t>
  </si>
  <si>
    <t xml:space="preserve">CB Insights (3 execs); LinkedIn ~1.2k followers</t>
  </si>
  <si>
    <t xml:space="preserve">Small early-stage portfolio; episodic filing expected</t>
  </si>
  <si>
    <t xml:space="preserve">Very small team; early-stage; physical-assistance focus over breadth.</t>
  </si>
  <si>
    <t xml:space="preserve">OhmniLabs</t>
  </si>
  <si>
    <t xml:space="preserve">~30-60</t>
  </si>
  <si>
    <t xml:space="preserve">RocketReach; LinkedIn ~8k followers</t>
  </si>
  <si>
    <t xml:space="preserve">Modest portfolio; telepresence-centric</t>
  </si>
  <si>
    <t xml:space="preserve">Small team; telepresence + additive-manufacturing niche.</t>
  </si>
  <si>
    <t xml:space="preserve">Education</t>
  </si>
  <si>
    <t xml:space="preserve">Miko (Emotix)</t>
  </si>
  <si>
    <t xml:space="preserve">Senpai</t>
  </si>
  <si>
    <t xml:space="preserve">~200-300</t>
  </si>
  <si>
    <t xml:space="preserve">CB Insights/Crunchbase (Emotix)</t>
  </si>
  <si>
    <t xml:space="preserve">Filing skewed to India; limited US presence expected</t>
  </si>
  <si>
    <t xml:space="preserve">Mid-size consumer team; content + conversational-AI weighted; IP skewed to India.</t>
  </si>
  <si>
    <t xml:space="preserve">UBTECH Robotics</t>
  </si>
  <si>
    <t xml:space="preserve">~1,000</t>
  </si>
  <si>
    <t xml:space="preserve">Jul 2025</t>
  </si>
  <si>
    <t xml:space="preserve">LeadIQ; HKEX-listed (9880.HK)</t>
  </si>
  <si>
    <t xml:space="preserve">Very large: 3,000+ patents globally, 1,500+ granted; ~310 USPTO applications; top-tier humanoid assignee</t>
  </si>
  <si>
    <t xml:space="preserve">Large team AND 3,000+ patents — among the strongest combined scale+IP positions in the set.</t>
  </si>
  <si>
    <t xml:space="preserve">LEGO Education</t>
  </si>
  <si>
    <t xml:space="preserve">part of LEGO Group (~28,000 group-wide)</t>
  </si>
  <si>
    <t xml:space="preserve">LEGO Group reports (division not broken out)</t>
  </si>
  <si>
    <t xml:space="preserve">Large parent portfolio; education-robotics subset harder to isolate</t>
  </si>
  <si>
    <t xml:space="preserve">Embedded in a very large parent; education-robotics is a division, not a standalone scale signal.</t>
  </si>
  <si>
    <t xml:space="preserve">Indoor Security</t>
  </si>
  <si>
    <t xml:space="preserve">Knightscope</t>
  </si>
  <si>
    <t xml:space="preserve">Sentinel Prime AI</t>
  </si>
  <si>
    <t xml:space="preserve">71 → 400+ (rapid 2026 expansion)</t>
  </si>
  <si>
    <t xml:space="preserve">Dec 2024 → Mar 2026</t>
  </si>
  <si>
    <t xml:space="preserve">SEC 10-K FY2024; BusinessWire Mar 2026</t>
  </si>
  <si>
    <t xml:space="preserve">Active assignee portfolio on Justia; core ADM patent plus follow-ons</t>
  </si>
  <si>
    <t xml:space="preserve">Headcount quadrupled to 400+ in early 2026, but mostly security agents (services), not R&amp;D — read carefully.</t>
  </si>
  <si>
    <t xml:space="preserve">Cobalt Robotics</t>
  </si>
  <si>
    <t xml:space="preserve">~91 (acquired)</t>
  </si>
  <si>
    <t xml:space="preserve">Growjo/CB Insights; status: acquired</t>
  </si>
  <si>
    <t xml:space="preserve">Focused indoor-security portfolio (~27 filings per CB Insights)</t>
  </si>
  <si>
    <t xml:space="preserve">Mid-size, acquired; ~27 patents; indoor-security-focused.</t>
  </si>
  <si>
    <t xml:space="preserve">RAD (AITX)</t>
  </si>
  <si>
    <t xml:space="preserve">~100-150 (AITX group)</t>
  </si>
  <si>
    <t xml:space="preserve">AITX filings (OTC: AITX)</t>
  </si>
  <si>
    <t xml:space="preserve">Portfolio under public parent AITX; verify scope</t>
  </si>
  <si>
    <t xml:space="preserve">Small public-group; breadth of security devices over deep R&amp;D headcount.</t>
  </si>
  <si>
    <t xml:space="preserve">Outdoor Patrol</t>
  </si>
  <si>
    <t xml:space="preserve">Asylon Robotics</t>
  </si>
  <si>
    <t xml:space="preserve">Aido Rover</t>
  </si>
  <si>
    <t xml:space="preserve">~50-100</t>
  </si>
  <si>
    <t xml:space="preserve">CB Insights; Series B Jul 2025</t>
  </si>
  <si>
    <t xml:space="preserve">Growing portfolio aligned with drone+ground security</t>
  </si>
  <si>
    <t xml:space="preserve">Small-mid team; multi-modal (ground+air) focus; growing post-Series B.</t>
  </si>
  <si>
    <t xml:space="preserve">Boston Dynamics (Spot)</t>
  </si>
  <si>
    <t xml:space="preserve">~1,440</t>
  </si>
  <si>
    <t xml:space="preserve">Dec 2025</t>
  </si>
  <si>
    <t xml:space="preserve">Revelio Labs; subsidiary of Hyundai</t>
  </si>
  <si>
    <t xml:space="preserve">Deep, sustained portfolio — one of the strongest legged-robotics moats globally</t>
  </si>
  <si>
    <t xml:space="preserve">Large team + deepest legged-robotics patent moat — top combined scale+IP in the set.</t>
  </si>
  <si>
    <t xml:space="preserve">ANYbotics</t>
  </si>
  <si>
    <t xml:space="preserve">~150</t>
  </si>
  <si>
    <t xml:space="preserve">Wikipedia (ANYbotics)</t>
  </si>
  <si>
    <t xml:space="preserve">Industrial-inspection-focused portfolio; ETH Zurich research lineage</t>
  </si>
  <si>
    <t xml:space="preserve">Mid-size ETH-Zurich-spinout team; industrial-inspection R&amp;D focus.</t>
  </si>
  <si>
    <t xml:space="preserve">Humanoid</t>
  </si>
  <si>
    <t xml:space="preserve">Figure AI</t>
  </si>
  <si>
    <t xml:space="preserve">Aido Humanoid</t>
  </si>
  <si>
    <t xml:space="preserve">~180</t>
  </si>
  <si>
    <t xml:space="preserve">late 2025</t>
  </si>
  <si>
    <t xml:space="preserve">Wikipedia (Figure AI)</t>
  </si>
  <si>
    <t xml:space="preserve">IP-light vs capital: 'most capital, least defensible IP' (PatentVest); reliant on vision/demos</t>
  </si>
  <si>
    <t xml:space="preserve">Mid-size team, very large funding, but IP-light (PatentVest) — capital &gt;&gt; defensible R&amp;D output so far.</t>
  </si>
  <si>
    <t xml:space="preserve">Agility Robotics</t>
  </si>
  <si>
    <t xml:space="preserve">~400</t>
  </si>
  <si>
    <t xml:space="preserve">TrueUp; The Robot Report</t>
  </si>
  <si>
    <t xml:space="preserve">Genuine locomotion + handling portfolio; OSU research lineage (Cassie→Digit)</t>
  </si>
  <si>
    <t xml:space="preserve">~400-person team with genuine locomotion IP — balanced scale + defensibility.</t>
  </si>
  <si>
    <t xml:space="preserve">Unitree Robotics</t>
  </si>
  <si>
    <t xml:space="preserve">~40 (per TrueUp) — likely understated; large CN ops</t>
  </si>
  <si>
    <t xml:space="preserve">TrueUp; verify CN headcount</t>
  </si>
  <si>
    <t xml:space="preserve">Portfolio skewed to China; hardware/actuation focus</t>
  </si>
  <si>
    <t xml:space="preserve">Reported small headcount understates large China ops; hardware/cost-driven.</t>
  </si>
  <si>
    <t xml:space="preserve">What this sheet is (and is not)</t>
  </si>
  <si>
    <t xml:space="preserve">• This sheet measures R&amp;D SCALE using two VERIFIABLE inputs: (1) real employee headcount from SEC filings, Wikipedia, LinkedIn, Revelio Labs and CB Insights; (2) the real patent portfolio researched in patents.xlsx.</t>
  </si>
  <si>
    <r>
      <rPr>
        <sz val="9.5"/>
        <color rgb="FF333333"/>
        <rFont val="Arial"/>
        <family val="0"/>
        <charset val="1"/>
      </rPr>
      <t xml:space="preserve">• It is NOT a real-time hiring-intensity snapshot. The original Week 2 plan asked for an AI-ML hiring share from a dated open-roles pull. Real-time open-role counts could not be verified to a single trustworthy snapshot date (aggregator counts for the same company ranged wildly and</t>
    </r>
    <r>
      <rPr>
        <sz val="9.5"/>
        <color rgb="FF333333"/>
        <rFont val="Noto Sans CJK SC"/>
        <family val="2"/>
        <charset val="1"/>
      </rPr>
      <t xml:space="preserve">公司 </t>
    </r>
    <r>
      <rPr>
        <sz val="9.5"/>
        <color rgb="FF333333"/>
        <rFont val="Arial"/>
        <family val="0"/>
        <charset val="1"/>
      </rPr>
      <t xml:space="preserve">careers pages do not publish a total), so inventing those numbers was rejected. Headcount + patents is the honest, checkable substitute.</t>
    </r>
  </si>
  <si>
    <t xml:space="preserve">• Caveats flagged yellow: Knightscope's 400+ is mostly security-agent services staff (not R&amp;D); Cobalt is acquired; Unitree's reported ~40 understates large China operations; LEGO Education sits inside the ~28,000-person LEGO Group.</t>
  </si>
  <si>
    <t xml:space="preserve">• Key cross-peer insight: headcount and defensible IP are decoupled. UBTECH (large team + 3,000+ patents) and Boston Dynamics (large team + deepest legged-robotics moat) lead on combined scale+IP; Figure AI is well-staffed and extremely well-funded but IP-light (PatentVest). Benchmark peers on IP + deployments, not raw size or raise.</t>
  </si>
  <si>
    <t xml:space="preserve">• If a true hiring snapshot is still wanted, use the 'hiring_snapshot_TEMPLATE' sheet: pick ONE date, pull open roles for all 15 peers from their careers pages that same day, fill the counts, and the AI-ML-share formula computes itself.</t>
  </si>
  <si>
    <t xml:space="preserve">Careers URL</t>
  </si>
  <si>
    <t xml:space="preserve">Snapshot date (single day)</t>
  </si>
  <si>
    <t xml:space="preserve">Total open roles</t>
  </si>
  <si>
    <t xml:space="preserve">AI-ML</t>
  </si>
  <si>
    <t xml:space="preserve">Engineering</t>
  </si>
  <si>
    <t xml:space="preserve">GTM</t>
  </si>
  <si>
    <t xml:space="preserve">Ops/Other</t>
  </si>
  <si>
    <t xml:space="preserve">AI-ML share</t>
  </si>
  <si>
    <t xml:space="preserve">https://elliq.com/careers</t>
  </si>
  <si>
    <t xml:space="preserve">&lt;one date&gt;</t>
  </si>
  <si>
    <t xml:space="preserve">https://labradorsystems.com/careers</t>
  </si>
  <si>
    <t xml:space="preserve">https://ohmnilabs.com/careers</t>
  </si>
  <si>
    <t xml:space="preserve">https://miko.ai/careers</t>
  </si>
  <si>
    <t xml:space="preserve">https://ubtrobot.com/careers</t>
  </si>
  <si>
    <t xml:space="preserve">https://education.lego.com/careers</t>
  </si>
  <si>
    <t xml:space="preserve">https://knightscope.com/careers</t>
  </si>
  <si>
    <t xml:space="preserve">https://cobaltrobotics.com/careers</t>
  </si>
  <si>
    <t xml:space="preserve">https://roboticassistancedevices.com/careers</t>
  </si>
  <si>
    <t xml:space="preserve">https://asylonrobotics.com/careers</t>
  </si>
  <si>
    <t xml:space="preserve">https://bostondynamics.com/careers</t>
  </si>
  <si>
    <t xml:space="preserve">https://anybotics.com/careers</t>
  </si>
  <si>
    <t xml:space="preserve">https://figure.ai/careers</t>
  </si>
  <si>
    <t xml:space="preserve">https://agilityrobotics.com/careers</t>
  </si>
  <si>
    <t xml:space="preserve">https://unitree.com/careers</t>
  </si>
  <si>
    <t xml:space="preserve">How to collect (do all 15 on ONE date):</t>
  </si>
  <si>
    <t xml:space="preserve">• Source: each company's public careers page (primary) + LinkedIn 'Jobs' company filter (secondary).</t>
  </si>
  <si>
    <t xml:space="preserve">• On the snapshot date, record total open roles, then tag each role into one bucket: AI-ML, Engineering (non-ML), GTM (sales/marketing/BD), Ops/Other.</t>
  </si>
  <si>
    <t xml:space="preserve">• Compute AI-ML share = AI-ML roles / total open roles. Record the snapshot DATE next to every row.</t>
  </si>
  <si>
    <t xml:space="preserve">• Re-pull on a single date for all 15 peers so the snapshot is internally comparable.</t>
  </si>
  <si>
    <t xml:space="preserve">• Respect each site's robots.txt / ToS; where scraping is disallowed, count roles manually.</t>
  </si>
  <si>
    <t xml:space="preserve">• Interpretation guide: AI-ML share is a proxy for R&amp;D/research intensity vs commercialization (GTM/Ops heavy = scaling/selling; AI-ML heavy = still building core capability).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</si>
</sst>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.5"/>
      <color rgb="FF333333"/>
      <name val="Arial"/>
      <family val="0"/>
      <charset val="1"/>
    </font>
    <font>
      <sz val="9.5"/>
      <color rgb="FF333333"/>
      <name val="Noto Sans CJK SC"/>
      <family val="2"/>
      <charset val="1"/>
    </font>
    <font>
      <b val="true"/>
      <sz val="10"/>
      <color rgb="FF1F3864"/>
      <name val="Arial"/>
      <family val="0"/>
      <charset val="1"/>
    </font>
    <font>
      <sz val="9"/>
      <color rgb="FF3333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2F6FC"/>
        <bgColor rgb="FFFFFFFF"/>
      </patternFill>
    </fill>
    <fill>
      <patternFill patternType="solid">
        <fgColor rgb="FFFFF2CC"/>
        <bgColor rgb="FFF2F6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6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6" min="6" style="1" width="18"/>
    <col collapsed="false" customWidth="true" hidden="false" outlineLevel="0" max="7" min="7" style="1" width="34"/>
    <col collapsed="false" customWidth="true" hidden="false" outlineLevel="0" max="8" min="8" style="1" width="40"/>
    <col collapsed="false" customWidth="true" hidden="false" outlineLevel="0" max="9" min="9" style="1" width="46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9.75" hidden="false" customHeight="true" outlineLevel="0" collapsed="false">
      <c r="A2" s="3" t="n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customFormat="false" ht="39.75" hidden="false" customHeight="true" outlineLevel="0" collapsed="false">
      <c r="A3" s="4" t="n">
        <v>2</v>
      </c>
      <c r="B3" s="4" t="s">
        <v>9</v>
      </c>
      <c r="C3" s="4" t="s">
        <v>17</v>
      </c>
      <c r="D3" s="4" t="s">
        <v>11</v>
      </c>
      <c r="E3" s="4" t="s">
        <v>18</v>
      </c>
      <c r="F3" s="4" t="s">
        <v>13</v>
      </c>
      <c r="G3" s="4" t="s">
        <v>19</v>
      </c>
      <c r="H3" s="4" t="s">
        <v>20</v>
      </c>
      <c r="I3" s="4" t="s">
        <v>21</v>
      </c>
    </row>
    <row r="4" customFormat="false" ht="39.75" hidden="false" customHeight="true" outlineLevel="0" collapsed="false">
      <c r="A4" s="3" t="n">
        <v>3</v>
      </c>
      <c r="B4" s="3" t="s">
        <v>9</v>
      </c>
      <c r="C4" s="3" t="s">
        <v>22</v>
      </c>
      <c r="D4" s="3" t="s">
        <v>11</v>
      </c>
      <c r="E4" s="3" t="s">
        <v>23</v>
      </c>
      <c r="F4" s="3" t="s">
        <v>13</v>
      </c>
      <c r="G4" s="3" t="s">
        <v>24</v>
      </c>
      <c r="H4" s="3" t="s">
        <v>25</v>
      </c>
      <c r="I4" s="3" t="s">
        <v>26</v>
      </c>
    </row>
    <row r="5" customFormat="false" ht="39.75" hidden="false" customHeight="true" outlineLevel="0" collapsed="false">
      <c r="A5" s="4" t="n">
        <v>4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13</v>
      </c>
      <c r="G5" s="4" t="s">
        <v>31</v>
      </c>
      <c r="H5" s="4" t="s">
        <v>32</v>
      </c>
      <c r="I5" s="4" t="s">
        <v>33</v>
      </c>
    </row>
    <row r="6" customFormat="false" ht="39.75" hidden="false" customHeight="true" outlineLevel="0" collapsed="false">
      <c r="A6" s="3" t="n">
        <v>5</v>
      </c>
      <c r="B6" s="3" t="s">
        <v>27</v>
      </c>
      <c r="C6" s="3" t="s">
        <v>34</v>
      </c>
      <c r="D6" s="3" t="s">
        <v>29</v>
      </c>
      <c r="E6" s="3" t="s">
        <v>35</v>
      </c>
      <c r="F6" s="3" t="s">
        <v>36</v>
      </c>
      <c r="G6" s="3" t="s">
        <v>37</v>
      </c>
      <c r="H6" s="3" t="s">
        <v>38</v>
      </c>
      <c r="I6" s="3" t="s">
        <v>39</v>
      </c>
    </row>
    <row r="7" customFormat="false" ht="39.75" hidden="false" customHeight="true" outlineLevel="0" collapsed="false">
      <c r="A7" s="4" t="n">
        <v>6</v>
      </c>
      <c r="B7" s="4" t="s">
        <v>27</v>
      </c>
      <c r="C7" s="4" t="s">
        <v>40</v>
      </c>
      <c r="D7" s="4" t="s">
        <v>29</v>
      </c>
      <c r="E7" s="4" t="s">
        <v>41</v>
      </c>
      <c r="F7" s="4" t="s">
        <v>13</v>
      </c>
      <c r="G7" s="4" t="s">
        <v>42</v>
      </c>
      <c r="H7" s="4" t="s">
        <v>43</v>
      </c>
      <c r="I7" s="4" t="s">
        <v>44</v>
      </c>
    </row>
    <row r="8" customFormat="false" ht="39.75" hidden="false" customHeight="true" outlineLevel="0" collapsed="false">
      <c r="A8" s="3" t="n">
        <v>7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51</v>
      </c>
      <c r="I8" s="3" t="s">
        <v>52</v>
      </c>
    </row>
    <row r="9" customFormat="false" ht="39.75" hidden="false" customHeight="true" outlineLevel="0" collapsed="false">
      <c r="A9" s="4" t="n">
        <v>8</v>
      </c>
      <c r="B9" s="4" t="s">
        <v>45</v>
      </c>
      <c r="C9" s="4" t="s">
        <v>53</v>
      </c>
      <c r="D9" s="4" t="s">
        <v>47</v>
      </c>
      <c r="E9" s="5" t="s">
        <v>54</v>
      </c>
      <c r="F9" s="4" t="s">
        <v>13</v>
      </c>
      <c r="G9" s="4" t="s">
        <v>55</v>
      </c>
      <c r="H9" s="4" t="s">
        <v>56</v>
      </c>
      <c r="I9" s="4" t="s">
        <v>57</v>
      </c>
    </row>
    <row r="10" customFormat="false" ht="39.75" hidden="false" customHeight="true" outlineLevel="0" collapsed="false">
      <c r="A10" s="3" t="n">
        <v>9</v>
      </c>
      <c r="B10" s="3" t="s">
        <v>45</v>
      </c>
      <c r="C10" s="3" t="s">
        <v>58</v>
      </c>
      <c r="D10" s="3" t="s">
        <v>47</v>
      </c>
      <c r="E10" s="3" t="s">
        <v>59</v>
      </c>
      <c r="F10" s="3" t="s">
        <v>13</v>
      </c>
      <c r="G10" s="3" t="s">
        <v>60</v>
      </c>
      <c r="H10" s="3" t="s">
        <v>61</v>
      </c>
      <c r="I10" s="3" t="s">
        <v>62</v>
      </c>
    </row>
    <row r="11" customFormat="false" ht="39.75" hidden="false" customHeight="true" outlineLevel="0" collapsed="false">
      <c r="A11" s="4" t="n">
        <v>10</v>
      </c>
      <c r="B11" s="4" t="s">
        <v>63</v>
      </c>
      <c r="C11" s="4" t="s">
        <v>64</v>
      </c>
      <c r="D11" s="4" t="s">
        <v>65</v>
      </c>
      <c r="E11" s="4" t="s">
        <v>66</v>
      </c>
      <c r="F11" s="4" t="s">
        <v>13</v>
      </c>
      <c r="G11" s="4" t="s">
        <v>67</v>
      </c>
      <c r="H11" s="4" t="s">
        <v>68</v>
      </c>
      <c r="I11" s="4" t="s">
        <v>69</v>
      </c>
    </row>
    <row r="12" customFormat="false" ht="39.75" hidden="false" customHeight="true" outlineLevel="0" collapsed="false">
      <c r="A12" s="3" t="n">
        <v>11</v>
      </c>
      <c r="B12" s="3" t="s">
        <v>63</v>
      </c>
      <c r="C12" s="3" t="s">
        <v>70</v>
      </c>
      <c r="D12" s="3" t="s">
        <v>65</v>
      </c>
      <c r="E12" s="3" t="s">
        <v>71</v>
      </c>
      <c r="F12" s="3" t="s">
        <v>72</v>
      </c>
      <c r="G12" s="3" t="s">
        <v>73</v>
      </c>
      <c r="H12" s="3" t="s">
        <v>74</v>
      </c>
      <c r="I12" s="3" t="s">
        <v>75</v>
      </c>
    </row>
    <row r="13" customFormat="false" ht="39.75" hidden="false" customHeight="true" outlineLevel="0" collapsed="false">
      <c r="A13" s="4" t="n">
        <v>12</v>
      </c>
      <c r="B13" s="4" t="s">
        <v>63</v>
      </c>
      <c r="C13" s="4" t="s">
        <v>76</v>
      </c>
      <c r="D13" s="4" t="s">
        <v>65</v>
      </c>
      <c r="E13" s="4" t="s">
        <v>77</v>
      </c>
      <c r="F13" s="4" t="s">
        <v>13</v>
      </c>
      <c r="G13" s="4" t="s">
        <v>78</v>
      </c>
      <c r="H13" s="4" t="s">
        <v>79</v>
      </c>
      <c r="I13" s="4" t="s">
        <v>80</v>
      </c>
    </row>
    <row r="14" customFormat="false" ht="39.75" hidden="false" customHeight="true" outlineLevel="0" collapsed="false">
      <c r="A14" s="3" t="n">
        <v>13</v>
      </c>
      <c r="B14" s="3" t="s">
        <v>81</v>
      </c>
      <c r="C14" s="3" t="s">
        <v>82</v>
      </c>
      <c r="D14" s="3" t="s">
        <v>83</v>
      </c>
      <c r="E14" s="3" t="s">
        <v>84</v>
      </c>
      <c r="F14" s="3" t="s">
        <v>85</v>
      </c>
      <c r="G14" s="3" t="s">
        <v>86</v>
      </c>
      <c r="H14" s="3" t="s">
        <v>87</v>
      </c>
      <c r="I14" s="3" t="s">
        <v>88</v>
      </c>
    </row>
    <row r="15" customFormat="false" ht="39.75" hidden="false" customHeight="true" outlineLevel="0" collapsed="false">
      <c r="A15" s="4" t="n">
        <v>14</v>
      </c>
      <c r="B15" s="4" t="s">
        <v>81</v>
      </c>
      <c r="C15" s="4" t="s">
        <v>89</v>
      </c>
      <c r="D15" s="4" t="s">
        <v>83</v>
      </c>
      <c r="E15" s="4" t="s">
        <v>90</v>
      </c>
      <c r="F15" s="4" t="s">
        <v>13</v>
      </c>
      <c r="G15" s="4" t="s">
        <v>91</v>
      </c>
      <c r="H15" s="4" t="s">
        <v>92</v>
      </c>
      <c r="I15" s="4" t="s">
        <v>93</v>
      </c>
    </row>
    <row r="16" customFormat="false" ht="39.75" hidden="false" customHeight="true" outlineLevel="0" collapsed="false">
      <c r="A16" s="3" t="n">
        <v>15</v>
      </c>
      <c r="B16" s="3" t="s">
        <v>81</v>
      </c>
      <c r="C16" s="3" t="s">
        <v>94</v>
      </c>
      <c r="D16" s="3" t="s">
        <v>83</v>
      </c>
      <c r="E16" s="5" t="s">
        <v>95</v>
      </c>
      <c r="F16" s="3" t="s">
        <v>13</v>
      </c>
      <c r="G16" s="3" t="s">
        <v>96</v>
      </c>
      <c r="H16" s="3" t="s">
        <v>97</v>
      </c>
      <c r="I16" s="3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0"/>
  </cols>
  <sheetData>
    <row r="1" customFormat="false" ht="15" hidden="false" customHeight="false" outlineLevel="0" collapsed="false">
      <c r="A1" s="6" t="s">
        <v>99</v>
      </c>
    </row>
    <row r="3" customFormat="false" ht="57.75" hidden="false" customHeight="true" outlineLevel="0" collapsed="false">
      <c r="A3" s="7" t="s">
        <v>100</v>
      </c>
    </row>
    <row r="4" customFormat="false" ht="57.75" hidden="false" customHeight="true" outlineLevel="0" collapsed="false">
      <c r="A4" s="7" t="s">
        <v>101</v>
      </c>
    </row>
    <row r="5" customFormat="false" ht="57.75" hidden="false" customHeight="true" outlineLevel="0" collapsed="false">
      <c r="A5" s="7" t="s">
        <v>102</v>
      </c>
    </row>
    <row r="6" customFormat="false" ht="57.75" hidden="false" customHeight="true" outlineLevel="0" collapsed="false">
      <c r="A6" s="7" t="s">
        <v>103</v>
      </c>
    </row>
    <row r="7" customFormat="false" ht="57.75" hidden="false" customHeight="true" outlineLevel="0" collapsed="false">
      <c r="A7" s="7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4" min="4" style="1" width="34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9"/>
    <col collapsed="false" customWidth="true" hidden="false" outlineLevel="0" max="11" min="10" style="1" width="11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</row>
    <row r="2" customFormat="false" ht="39.75" hidden="false" customHeight="true" outlineLevel="0" collapsed="false">
      <c r="A2" s="3" t="n">
        <v>1</v>
      </c>
      <c r="B2" s="3" t="s">
        <v>9</v>
      </c>
      <c r="C2" s="3" t="s">
        <v>10</v>
      </c>
      <c r="D2" s="3" t="s">
        <v>113</v>
      </c>
      <c r="E2" s="3" t="s">
        <v>114</v>
      </c>
      <c r="F2" s="3"/>
      <c r="G2" s="3"/>
      <c r="H2" s="3"/>
      <c r="I2" s="3"/>
      <c r="J2" s="3"/>
      <c r="K2" s="8" t="str">
        <f aca="false">IF(F2="","",G2/F2)</f>
        <v/>
      </c>
    </row>
    <row r="3" customFormat="false" ht="39.75" hidden="false" customHeight="true" outlineLevel="0" collapsed="false">
      <c r="A3" s="4" t="n">
        <v>2</v>
      </c>
      <c r="B3" s="4" t="s">
        <v>9</v>
      </c>
      <c r="C3" s="4" t="s">
        <v>17</v>
      </c>
      <c r="D3" s="4" t="s">
        <v>115</v>
      </c>
      <c r="E3" s="4" t="s">
        <v>114</v>
      </c>
      <c r="F3" s="4"/>
      <c r="G3" s="4"/>
      <c r="H3" s="4"/>
      <c r="I3" s="4"/>
      <c r="J3" s="4"/>
      <c r="K3" s="9" t="str">
        <f aca="false">IF(F3="","",G3/F3)</f>
        <v/>
      </c>
    </row>
    <row r="4" customFormat="false" ht="39.75" hidden="false" customHeight="true" outlineLevel="0" collapsed="false">
      <c r="A4" s="3" t="n">
        <v>3</v>
      </c>
      <c r="B4" s="3" t="s">
        <v>9</v>
      </c>
      <c r="C4" s="3" t="s">
        <v>22</v>
      </c>
      <c r="D4" s="3" t="s">
        <v>116</v>
      </c>
      <c r="E4" s="3" t="s">
        <v>114</v>
      </c>
      <c r="F4" s="3"/>
      <c r="G4" s="3"/>
      <c r="H4" s="3"/>
      <c r="I4" s="3"/>
      <c r="J4" s="3"/>
      <c r="K4" s="8" t="str">
        <f aca="false">IF(F4="","",G4/F4)</f>
        <v/>
      </c>
    </row>
    <row r="5" customFormat="false" ht="39.75" hidden="false" customHeight="true" outlineLevel="0" collapsed="false">
      <c r="A5" s="4" t="n">
        <v>4</v>
      </c>
      <c r="B5" s="4" t="s">
        <v>27</v>
      </c>
      <c r="C5" s="4" t="s">
        <v>28</v>
      </c>
      <c r="D5" s="4" t="s">
        <v>117</v>
      </c>
      <c r="E5" s="4" t="s">
        <v>114</v>
      </c>
      <c r="F5" s="4"/>
      <c r="G5" s="4"/>
      <c r="H5" s="4"/>
      <c r="I5" s="4"/>
      <c r="J5" s="4"/>
      <c r="K5" s="9" t="str">
        <f aca="false">IF(F5="","",G5/F5)</f>
        <v/>
      </c>
    </row>
    <row r="6" customFormat="false" ht="39.75" hidden="false" customHeight="true" outlineLevel="0" collapsed="false">
      <c r="A6" s="3" t="n">
        <v>5</v>
      </c>
      <c r="B6" s="3" t="s">
        <v>27</v>
      </c>
      <c r="C6" s="3" t="s">
        <v>34</v>
      </c>
      <c r="D6" s="3" t="s">
        <v>118</v>
      </c>
      <c r="E6" s="3" t="s">
        <v>114</v>
      </c>
      <c r="F6" s="3"/>
      <c r="G6" s="3"/>
      <c r="H6" s="3"/>
      <c r="I6" s="3"/>
      <c r="J6" s="3"/>
      <c r="K6" s="8" t="str">
        <f aca="false">IF(F6="","",G6/F6)</f>
        <v/>
      </c>
    </row>
    <row r="7" customFormat="false" ht="39.75" hidden="false" customHeight="true" outlineLevel="0" collapsed="false">
      <c r="A7" s="4" t="n">
        <v>6</v>
      </c>
      <c r="B7" s="4" t="s">
        <v>27</v>
      </c>
      <c r="C7" s="4" t="s">
        <v>40</v>
      </c>
      <c r="D7" s="4" t="s">
        <v>119</v>
      </c>
      <c r="E7" s="4" t="s">
        <v>114</v>
      </c>
      <c r="F7" s="4"/>
      <c r="G7" s="4"/>
      <c r="H7" s="4"/>
      <c r="I7" s="4"/>
      <c r="J7" s="4"/>
      <c r="K7" s="9" t="str">
        <f aca="false">IF(F7="","",G7/F7)</f>
        <v/>
      </c>
    </row>
    <row r="8" customFormat="false" ht="39.75" hidden="false" customHeight="true" outlineLevel="0" collapsed="false">
      <c r="A8" s="3" t="n">
        <v>7</v>
      </c>
      <c r="B8" s="3" t="s">
        <v>45</v>
      </c>
      <c r="C8" s="3" t="s">
        <v>46</v>
      </c>
      <c r="D8" s="3" t="s">
        <v>120</v>
      </c>
      <c r="E8" s="3" t="s">
        <v>114</v>
      </c>
      <c r="F8" s="3"/>
      <c r="G8" s="3"/>
      <c r="H8" s="3"/>
      <c r="I8" s="3"/>
      <c r="J8" s="3"/>
      <c r="K8" s="8" t="str">
        <f aca="false">IF(F8="","",G8/F8)</f>
        <v/>
      </c>
    </row>
    <row r="9" customFormat="false" ht="39.75" hidden="false" customHeight="true" outlineLevel="0" collapsed="false">
      <c r="A9" s="4" t="n">
        <v>8</v>
      </c>
      <c r="B9" s="4" t="s">
        <v>45</v>
      </c>
      <c r="C9" s="4" t="s">
        <v>53</v>
      </c>
      <c r="D9" s="4" t="s">
        <v>121</v>
      </c>
      <c r="E9" s="4" t="s">
        <v>114</v>
      </c>
      <c r="F9" s="4"/>
      <c r="G9" s="4"/>
      <c r="H9" s="4"/>
      <c r="I9" s="4"/>
      <c r="J9" s="4"/>
      <c r="K9" s="9" t="str">
        <f aca="false">IF(F9="","",G9/F9)</f>
        <v/>
      </c>
    </row>
    <row r="10" customFormat="false" ht="39.75" hidden="false" customHeight="true" outlineLevel="0" collapsed="false">
      <c r="A10" s="3" t="n">
        <v>9</v>
      </c>
      <c r="B10" s="3" t="s">
        <v>45</v>
      </c>
      <c r="C10" s="3" t="s">
        <v>58</v>
      </c>
      <c r="D10" s="3" t="s">
        <v>122</v>
      </c>
      <c r="E10" s="3" t="s">
        <v>114</v>
      </c>
      <c r="F10" s="3"/>
      <c r="G10" s="3"/>
      <c r="H10" s="3"/>
      <c r="I10" s="3"/>
      <c r="J10" s="3"/>
      <c r="K10" s="8" t="str">
        <f aca="false">IF(F10="","",G10/F10)</f>
        <v/>
      </c>
    </row>
    <row r="11" customFormat="false" ht="39.75" hidden="false" customHeight="true" outlineLevel="0" collapsed="false">
      <c r="A11" s="4" t="n">
        <v>10</v>
      </c>
      <c r="B11" s="4" t="s">
        <v>63</v>
      </c>
      <c r="C11" s="4" t="s">
        <v>64</v>
      </c>
      <c r="D11" s="4" t="s">
        <v>123</v>
      </c>
      <c r="E11" s="4" t="s">
        <v>114</v>
      </c>
      <c r="F11" s="4"/>
      <c r="G11" s="4"/>
      <c r="H11" s="4"/>
      <c r="I11" s="4"/>
      <c r="J11" s="4"/>
      <c r="K11" s="9" t="str">
        <f aca="false">IF(F11="","",G11/F11)</f>
        <v/>
      </c>
    </row>
    <row r="12" customFormat="false" ht="39.75" hidden="false" customHeight="true" outlineLevel="0" collapsed="false">
      <c r="A12" s="3" t="n">
        <v>11</v>
      </c>
      <c r="B12" s="3" t="s">
        <v>63</v>
      </c>
      <c r="C12" s="3" t="s">
        <v>70</v>
      </c>
      <c r="D12" s="3" t="s">
        <v>124</v>
      </c>
      <c r="E12" s="3" t="s">
        <v>114</v>
      </c>
      <c r="F12" s="3"/>
      <c r="G12" s="3"/>
      <c r="H12" s="3"/>
      <c r="I12" s="3"/>
      <c r="J12" s="3"/>
      <c r="K12" s="8" t="str">
        <f aca="false">IF(F12="","",G12/F12)</f>
        <v/>
      </c>
    </row>
    <row r="13" customFormat="false" ht="39.75" hidden="false" customHeight="true" outlineLevel="0" collapsed="false">
      <c r="A13" s="4" t="n">
        <v>12</v>
      </c>
      <c r="B13" s="4" t="s">
        <v>63</v>
      </c>
      <c r="C13" s="4" t="s">
        <v>76</v>
      </c>
      <c r="D13" s="4" t="s">
        <v>125</v>
      </c>
      <c r="E13" s="4" t="s">
        <v>114</v>
      </c>
      <c r="F13" s="4"/>
      <c r="G13" s="4"/>
      <c r="H13" s="4"/>
      <c r="I13" s="4"/>
      <c r="J13" s="4"/>
      <c r="K13" s="9" t="str">
        <f aca="false">IF(F13="","",G13/F13)</f>
        <v/>
      </c>
    </row>
    <row r="14" customFormat="false" ht="39.75" hidden="false" customHeight="true" outlineLevel="0" collapsed="false">
      <c r="A14" s="3" t="n">
        <v>13</v>
      </c>
      <c r="B14" s="3" t="s">
        <v>81</v>
      </c>
      <c r="C14" s="3" t="s">
        <v>82</v>
      </c>
      <c r="D14" s="3" t="s">
        <v>126</v>
      </c>
      <c r="E14" s="3" t="s">
        <v>114</v>
      </c>
      <c r="F14" s="3"/>
      <c r="G14" s="3"/>
      <c r="H14" s="3"/>
      <c r="I14" s="3"/>
      <c r="J14" s="3"/>
      <c r="K14" s="8" t="str">
        <f aca="false">IF(F14="","",G14/F14)</f>
        <v/>
      </c>
    </row>
    <row r="15" customFormat="false" ht="39.75" hidden="false" customHeight="true" outlineLevel="0" collapsed="false">
      <c r="A15" s="4" t="n">
        <v>14</v>
      </c>
      <c r="B15" s="4" t="s">
        <v>81</v>
      </c>
      <c r="C15" s="4" t="s">
        <v>89</v>
      </c>
      <c r="D15" s="4" t="s">
        <v>127</v>
      </c>
      <c r="E15" s="4" t="s">
        <v>114</v>
      </c>
      <c r="F15" s="4"/>
      <c r="G15" s="4"/>
      <c r="H15" s="4"/>
      <c r="I15" s="4"/>
      <c r="J15" s="4"/>
      <c r="K15" s="9" t="str">
        <f aca="false">IF(F15="","",G15/F15)</f>
        <v/>
      </c>
    </row>
    <row r="16" customFormat="false" ht="39.75" hidden="false" customHeight="true" outlineLevel="0" collapsed="false">
      <c r="A16" s="3" t="n">
        <v>15</v>
      </c>
      <c r="B16" s="3" t="s">
        <v>81</v>
      </c>
      <c r="C16" s="3" t="s">
        <v>94</v>
      </c>
      <c r="D16" s="3" t="s">
        <v>128</v>
      </c>
      <c r="E16" s="3" t="s">
        <v>114</v>
      </c>
      <c r="F16" s="3"/>
      <c r="G16" s="3"/>
      <c r="H16" s="3"/>
      <c r="I16" s="3"/>
      <c r="J16" s="3"/>
      <c r="K16" s="8" t="str">
        <f aca="false">IF(F16="","",G16/F16)</f>
        <v/>
      </c>
    </row>
    <row r="18" customFormat="false" ht="15" hidden="false" customHeight="false" outlineLevel="0" collapsed="false">
      <c r="B18" s="10" t="s">
        <v>129</v>
      </c>
    </row>
    <row r="19" customFormat="false" ht="15" hidden="false" customHeight="false" outlineLevel="0" collapsed="false">
      <c r="B19" s="11" t="s">
        <v>130</v>
      </c>
    </row>
    <row r="20" customFormat="false" ht="15" hidden="false" customHeight="false" outlineLevel="0" collapsed="false">
      <c r="B20" s="11" t="s">
        <v>131</v>
      </c>
    </row>
    <row r="21" customFormat="false" ht="15" hidden="false" customHeight="false" outlineLevel="0" collapsed="false">
      <c r="B21" s="11" t="s">
        <v>132</v>
      </c>
    </row>
    <row r="22" customFormat="false" ht="15" hidden="false" customHeight="false" outlineLevel="0" collapsed="false">
      <c r="B22" s="11" t="s">
        <v>133</v>
      </c>
    </row>
    <row r="23" customFormat="false" ht="15" hidden="false" customHeight="false" outlineLevel="0" collapsed="false">
      <c r="B23" s="11" t="s">
        <v>134</v>
      </c>
    </row>
    <row r="24" customFormat="false" ht="15" hidden="false" customHeight="false" outlineLevel="0" collapsed="false">
      <c r="B24" s="11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2026-06-01T06:22:20Z</dcterms:created>
  <dc:creator>openpyxl</dc:creator>
  <dc:description/>
  <dc:language>en-US</dc:language>
  <cp:lastModifiedBy/>
  <dcterms:modified xsi:type="dcterms:W3CDTF">2026-06-01T06:22:20Z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